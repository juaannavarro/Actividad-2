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riam.ugidos\Downloads\"/>
    </mc:Choice>
  </mc:AlternateContent>
  <xr:revisionPtr revIDLastSave="0" documentId="8_{D39923DF-9D90-4EBA-8079-5A685E20672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9" i="1"/>
  <c r="F30" i="1"/>
  <c r="F31" i="1"/>
  <c r="F7" i="1"/>
  <c r="H30" i="1"/>
  <c r="H3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9" i="1"/>
  <c r="H7" i="1"/>
  <c r="J28" i="1"/>
  <c r="J27" i="1"/>
  <c r="J26" i="1"/>
  <c r="J25" i="1"/>
  <c r="J24" i="1"/>
  <c r="J23" i="1"/>
  <c r="J32" i="1" l="1"/>
  <c r="F23" i="1"/>
  <c r="H23" i="1"/>
  <c r="F24" i="1"/>
  <c r="H24" i="1"/>
  <c r="F25" i="1"/>
  <c r="H25" i="1"/>
  <c r="F26" i="1"/>
  <c r="H26" i="1"/>
  <c r="F27" i="1"/>
  <c r="H27" i="1"/>
  <c r="F28" i="1"/>
  <c r="H28" i="1"/>
</calcChain>
</file>

<file path=xl/sharedStrings.xml><?xml version="1.0" encoding="utf-8"?>
<sst xmlns="http://schemas.openxmlformats.org/spreadsheetml/2006/main" count="159" uniqueCount="63">
  <si>
    <t>CRITERIOS</t>
  </si>
  <si>
    <t>Niveles (Texto de realimentación / Calificación)</t>
  </si>
  <si>
    <t>Comentarios (opcional)</t>
  </si>
  <si>
    <t>E (mínimo)</t>
  </si>
  <si>
    <t>C</t>
  </si>
  <si>
    <t>B</t>
  </si>
  <si>
    <t>A (máximo)</t>
  </si>
  <si>
    <t>Entrega</t>
  </si>
  <si>
    <t>Fichero .ipynp</t>
  </si>
  <si>
    <t>No entrega el fichero</t>
  </si>
  <si>
    <t>ESTA OPCIÓN NO ES SELECCIONABLE</t>
  </si>
  <si>
    <t>Entrega el fichero sin el código debidamente ejecutado</t>
  </si>
  <si>
    <t>Entrega el fichero con las celdas debidamente ejecutadas</t>
  </si>
  <si>
    <t>Informe de actividad</t>
  </si>
  <si>
    <t>Entrega el fichero con el informe, pero éste presenta deficiencias importantes de estructura o presentación.</t>
  </si>
  <si>
    <t>Entrega el fichero con el informe, que no tiene ninguna deficiencia de estructura o presentación.</t>
  </si>
  <si>
    <t>Calidad de código y profundidad de las respuetas</t>
  </si>
  <si>
    <t>Respuestas justas y básicas</t>
  </si>
  <si>
    <t>Medio bajo. Explica pero no se extiende en demasia</t>
  </si>
  <si>
    <t>Presta atención a las respuestas pero no trabaja la calidad final del entregable</t>
  </si>
  <si>
    <t>Excepcional. Hace mucho más de lo pedido</t>
  </si>
  <si>
    <t>Uso de IA generativa (inclusión de norma de uso, uso no declarado, etc.)</t>
  </si>
  <si>
    <t>Evidencia clara de uso no declarado o inapropiado de IA.</t>
  </si>
  <si>
    <t>Uso de IA declarado pero sin justificación o con uso excesivo.</t>
  </si>
  <si>
    <t>Uso de IA declarado, pero con áreas donde la contribución propia es limitada.</t>
  </si>
  <si>
    <t>Uso de IA declarado, justificado y ético, potenciando el trabajo propio.</t>
  </si>
  <si>
    <t>1. Exploratory Data Analysis (2 punto).</t>
  </si>
  <si>
    <t>cargar el dataset</t>
  </si>
  <si>
    <t>No lo ha hecho</t>
  </si>
  <si>
    <t>Contestación muy básica</t>
  </si>
  <si>
    <t>Contestación correcta</t>
  </si>
  <si>
    <t>Contestación correcta y explicada</t>
  </si>
  <si>
    <t>¿cuántas instancias tiene el dataset?</t>
  </si>
  <si>
    <t>¿Cuántas variables continuas hay en el dataset?</t>
  </si>
  <si>
    <t>¿Cuántas variables categóricas hay en el dataset? Indica las categorías.</t>
  </si>
  <si>
    <t>¿Cómo es la distribución de etiquetas de clase en el dataset? Con estos datos, ¿podríamos decir que el dataset está balanceado?</t>
  </si>
  <si>
    <t>¿Existen valores nulos o perdidos en el dataset?</t>
  </si>
  <si>
    <t>¿Existe alguna variable altamente correlacionada con la variable de clase?</t>
  </si>
  <si>
    <t>¿Qué tres variables del dataset consideras que pueden influenciar más en la clasificación de los datos?</t>
  </si>
  <si>
    <t> ¿cómo son las correlaciones entre las variables del dataset</t>
  </si>
  <si>
    <t>2. Random Forest (2 punto).</t>
  </si>
  <si>
    <t>Indica qué son cada uno de estos hiperparámetros: C, kernel, degree, gamma</t>
  </si>
  <si>
    <t>la implementación de sklearn tiene el hiperparámetro _class_weight_
¿Qué indica ese parámetro? ¿Para qué puede ser útil?</t>
  </si>
  <si>
    <t>Como primer paso para crear un clasificador de Random Forest hay que decidir si hay que hacer algún preprocesamiento adicional sobre los datos.
¿Hace falta normalizar los datos?</t>
  </si>
  <si>
    <t>Realiza el entrenamiento del modelo</t>
  </si>
  <si>
    <t>Visualiza la matriz de confusión del modelo entrenado con 20 árboles.</t>
  </si>
  <si>
    <t>¿Cuántos ejemplos ha clasificado correctamente?</t>
  </si>
  <si>
    <t>Visualiza la matriz de confusión</t>
  </si>
  <si>
    <t>3.Support Vector Machine (2 punto).</t>
  </si>
  <si>
    <t>Indica qué son cada uno de estos hiperparámetros</t>
  </si>
  <si>
    <t>el hiperparámetro decision_function_shape
¿Qué indica ese parámetro? ¿Para qué puede ser útil?</t>
  </si>
  <si>
    <t>Como primer paso para crear un clasificador de SVM hay que decidir si hay que hacer algún preprocesamiento adicional sobre los datos. ¿Hace falta normalizar los datos?</t>
  </si>
  <si>
    <t>Entrena un conjunto de modelos de SVM</t>
  </si>
  <si>
    <t>visualiza las matrices de confusión</t>
  </si>
  <si>
    <t>Obtén los valores de precision, recall, f1</t>
  </si>
  <si>
    <t>4. Comparativa (2 punto).</t>
  </si>
  <si>
    <t xml:space="preserve">¿qué tarea crees que se está intentando entrenar? </t>
  </si>
  <si>
    <t>5. Investigación (2 punto).</t>
  </si>
  <si>
    <t>Artículo presentado</t>
  </si>
  <si>
    <t>No aporta respuesta o bien ésta es completamente incorrecta</t>
  </si>
  <si>
    <t>Aporta una respuesta con una explicación insuficiente para explicar el motivo.</t>
  </si>
  <si>
    <t>Explicación del artículo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</si>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</sst>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5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vertical="center" wrapText="1"/>
    </xf>
    <xf numFmtId="164" fontId="6" fillId="8" borderId="11" xfId="0" applyNumberFormat="1" applyFont="1" applyFill="1" applyBorder="1" applyAlignment="1">
      <alignment vertical="center" wrapText="1"/>
    </xf>
    <xf numFmtId="2" fontId="3" fillId="9" borderId="4" xfId="0" applyNumberFormat="1" applyFont="1" applyFill="1" applyBorder="1" applyAlignment="1">
      <alignment vertical="center" wrapText="1"/>
    </xf>
    <xf numFmtId="0" fontId="0" fillId="0" borderId="13" xfId="0" applyBorder="1"/>
    <xf numFmtId="164" fontId="0" fillId="0" borderId="14" xfId="0" applyNumberFormat="1" applyBorder="1"/>
    <xf numFmtId="0" fontId="3" fillId="7" borderId="8" xfId="0" applyFont="1" applyFill="1" applyBorder="1" applyAlignment="1">
      <alignment vertical="center" wrapText="1"/>
    </xf>
    <xf numFmtId="164" fontId="6" fillId="8" borderId="15" xfId="0" applyNumberFormat="1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38"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759960</xdr:rowOff>
    </xdr:from>
    <xdr:to>
      <xdr:col>10</xdr:col>
      <xdr:colOff>49320</xdr:colOff>
      <xdr:row>7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7</xdr:row>
      <xdr:rowOff>759960</xdr:rowOff>
    </xdr:from>
    <xdr:to>
      <xdr:col>10</xdr:col>
      <xdr:colOff>44280</xdr:colOff>
      <xdr:row>7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759600</xdr:rowOff>
    </xdr:from>
    <xdr:to>
      <xdr:col>10</xdr:col>
      <xdr:colOff>44280</xdr:colOff>
      <xdr:row>8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759600</xdr:rowOff>
    </xdr:from>
    <xdr:to>
      <xdr:col>10</xdr:col>
      <xdr:colOff>44280</xdr:colOff>
      <xdr:row>8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759960</xdr:rowOff>
    </xdr:from>
    <xdr:to>
      <xdr:col>10</xdr:col>
      <xdr:colOff>44280</xdr:colOff>
      <xdr:row>9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759960</xdr:rowOff>
    </xdr:from>
    <xdr:to>
      <xdr:col>10</xdr:col>
      <xdr:colOff>44280</xdr:colOff>
      <xdr:row>9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759600</xdr:rowOff>
    </xdr:from>
    <xdr:to>
      <xdr:col>10</xdr:col>
      <xdr:colOff>44280</xdr:colOff>
      <xdr:row>10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759600</xdr:rowOff>
    </xdr:from>
    <xdr:to>
      <xdr:col>10</xdr:col>
      <xdr:colOff>44280</xdr:colOff>
      <xdr:row>10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759960</xdr:rowOff>
    </xdr:from>
    <xdr:to>
      <xdr:col>10</xdr:col>
      <xdr:colOff>44280</xdr:colOff>
      <xdr:row>11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759960</xdr:rowOff>
    </xdr:from>
    <xdr:to>
      <xdr:col>10</xdr:col>
      <xdr:colOff>44280</xdr:colOff>
      <xdr:row>11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759600</xdr:rowOff>
    </xdr:from>
    <xdr:to>
      <xdr:col>10</xdr:col>
      <xdr:colOff>44280</xdr:colOff>
      <xdr:row>12</xdr:row>
      <xdr:rowOff>770760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759600</xdr:rowOff>
    </xdr:from>
    <xdr:to>
      <xdr:col>10</xdr:col>
      <xdr:colOff>44280</xdr:colOff>
      <xdr:row>12</xdr:row>
      <xdr:rowOff>770760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121220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7" name="Entrada de lápiz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8" name="Entrada de lápiz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2983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360</xdr:rowOff>
    </xdr:from>
    <xdr:to>
      <xdr:col>10</xdr:col>
      <xdr:colOff>44280</xdr:colOff>
      <xdr:row>14</xdr:row>
      <xdr:rowOff>11520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360</xdr:rowOff>
    </xdr:from>
    <xdr:to>
      <xdr:col>10</xdr:col>
      <xdr:colOff>44280</xdr:colOff>
      <xdr:row>14</xdr:row>
      <xdr:rowOff>11520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29769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2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373652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15</xdr:row>
      <xdr:rowOff>759960</xdr:rowOff>
    </xdr:from>
    <xdr:to>
      <xdr:col>10</xdr:col>
      <xdr:colOff>44280</xdr:colOff>
      <xdr:row>15</xdr:row>
      <xdr:rowOff>771120</xdr:rowOff>
    </xdr:to>
    <xdr:pic>
      <xdr:nvPicPr>
        <xdr:cNvPr id="23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15</xdr:row>
      <xdr:rowOff>759960</xdr:rowOff>
    </xdr:from>
    <xdr:to>
      <xdr:col>10</xdr:col>
      <xdr:colOff>44280</xdr:colOff>
      <xdr:row>15</xdr:row>
      <xdr:rowOff>771120</xdr:rowOff>
    </xdr:to>
    <xdr:pic>
      <xdr:nvPicPr>
        <xdr:cNvPr id="24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150890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23" zoomScale="90" zoomScaleNormal="90" workbookViewId="0">
      <selection activeCell="I33" sqref="I33"/>
    </sheetView>
  </sheetViews>
  <sheetFormatPr baseColWidth="10" defaultColWidth="9" defaultRowHeight="15" customHeight="1" x14ac:dyDescent="0.3"/>
  <cols>
    <col min="1" max="1" width="24.5546875" customWidth="1"/>
    <col min="2" max="2" width="37.109375" customWidth="1"/>
    <col min="3" max="3" width="36" customWidth="1"/>
    <col min="4" max="4" width="10.109375" customWidth="1"/>
    <col min="5" max="5" width="36" customWidth="1"/>
    <col min="6" max="6" width="14.44140625" customWidth="1"/>
    <col min="7" max="7" width="36" customWidth="1"/>
    <col min="8" max="8" width="11.5546875" customWidth="1"/>
    <col min="9" max="9" width="37" customWidth="1"/>
    <col min="10" max="10" width="13.109375" customWidth="1"/>
    <col min="11" max="11" width="61.88671875" customWidth="1"/>
  </cols>
  <sheetData>
    <row r="1" spans="1:11" ht="13.65" customHeight="1" x14ac:dyDescent="0.3">
      <c r="A1" s="23" t="s">
        <v>0</v>
      </c>
      <c r="B1" s="23"/>
      <c r="C1" s="19" t="s">
        <v>1</v>
      </c>
      <c r="D1" s="19"/>
      <c r="E1" s="19"/>
      <c r="F1" s="19"/>
      <c r="G1" s="19"/>
      <c r="H1" s="1"/>
      <c r="I1" s="1"/>
      <c r="J1" s="1"/>
      <c r="K1" s="20" t="s">
        <v>2</v>
      </c>
    </row>
    <row r="2" spans="1:11" ht="44.25" customHeight="1" x14ac:dyDescent="0.3">
      <c r="A2" s="24"/>
      <c r="B2" s="24"/>
      <c r="C2" s="21" t="s">
        <v>3</v>
      </c>
      <c r="D2" s="22"/>
      <c r="E2" s="21" t="s">
        <v>4</v>
      </c>
      <c r="F2" s="22"/>
      <c r="G2" s="21" t="s">
        <v>5</v>
      </c>
      <c r="H2" s="22"/>
      <c r="I2" s="2" t="s">
        <v>6</v>
      </c>
      <c r="J2" s="2"/>
      <c r="K2" s="20"/>
    </row>
    <row r="3" spans="1:11" ht="84" customHeight="1" x14ac:dyDescent="0.3">
      <c r="A3" s="14" t="s">
        <v>7</v>
      </c>
      <c r="B3" s="3" t="s">
        <v>8</v>
      </c>
      <c r="C3" s="4" t="s">
        <v>9</v>
      </c>
      <c r="D3" s="5">
        <v>-3</v>
      </c>
      <c r="E3" s="4" t="s">
        <v>10</v>
      </c>
      <c r="F3" s="5"/>
      <c r="G3" s="4" t="s">
        <v>11</v>
      </c>
      <c r="H3" s="5">
        <v>-0.5</v>
      </c>
      <c r="I3" s="4" t="s">
        <v>12</v>
      </c>
      <c r="J3" s="5">
        <v>0</v>
      </c>
      <c r="K3" s="4"/>
    </row>
    <row r="4" spans="1:11" ht="84" customHeight="1" x14ac:dyDescent="0.3">
      <c r="A4" s="15"/>
      <c r="B4" s="3" t="s">
        <v>13</v>
      </c>
      <c r="C4" s="4" t="s">
        <v>9</v>
      </c>
      <c r="D4" s="5">
        <v>-1</v>
      </c>
      <c r="E4" s="4" t="s">
        <v>10</v>
      </c>
      <c r="F4" s="5"/>
      <c r="G4" s="4" t="s">
        <v>14</v>
      </c>
      <c r="H4" s="5">
        <v>0.5</v>
      </c>
      <c r="I4" s="4" t="s">
        <v>15</v>
      </c>
      <c r="J4" s="5">
        <v>0</v>
      </c>
      <c r="K4" s="4"/>
    </row>
    <row r="5" spans="1:11" ht="101.4" customHeight="1" x14ac:dyDescent="0.3">
      <c r="A5" s="15"/>
      <c r="B5" s="3" t="s">
        <v>16</v>
      </c>
      <c r="C5" s="4" t="s">
        <v>17</v>
      </c>
      <c r="D5" s="9">
        <v>0</v>
      </c>
      <c r="E5" s="4" t="s">
        <v>18</v>
      </c>
      <c r="F5" s="9">
        <v>0.5</v>
      </c>
      <c r="G5" s="4" t="s">
        <v>19</v>
      </c>
      <c r="H5" s="9">
        <v>0.75</v>
      </c>
      <c r="I5" s="4" t="s">
        <v>20</v>
      </c>
      <c r="J5" s="9">
        <v>1</v>
      </c>
      <c r="K5" s="4"/>
    </row>
    <row r="6" spans="1:11" ht="101.4" customHeight="1" x14ac:dyDescent="0.3">
      <c r="A6" s="16"/>
      <c r="B6" s="3" t="s">
        <v>21</v>
      </c>
      <c r="C6" s="4" t="s">
        <v>22</v>
      </c>
      <c r="D6" s="9">
        <v>-10</v>
      </c>
      <c r="E6" s="4" t="s">
        <v>23</v>
      </c>
      <c r="F6" s="9">
        <v>-5</v>
      </c>
      <c r="G6" s="4" t="s">
        <v>24</v>
      </c>
      <c r="H6" s="9">
        <v>-2</v>
      </c>
      <c r="I6" s="4" t="s">
        <v>25</v>
      </c>
      <c r="J6" s="9">
        <v>0</v>
      </c>
      <c r="K6" s="4"/>
    </row>
    <row r="7" spans="1:11" ht="78" customHeight="1" x14ac:dyDescent="0.3">
      <c r="A7" s="14" t="s">
        <v>26</v>
      </c>
      <c r="B7" s="3" t="s">
        <v>27</v>
      </c>
      <c r="C7" s="4" t="s">
        <v>28</v>
      </c>
      <c r="D7" s="5">
        <v>0</v>
      </c>
      <c r="E7" s="4" t="s">
        <v>29</v>
      </c>
      <c r="F7" s="5">
        <f>J7/3</f>
        <v>6.6666666666666666E-2</v>
      </c>
      <c r="G7" s="4" t="s">
        <v>30</v>
      </c>
      <c r="H7" s="5">
        <f>J7*2/3</f>
        <v>0.13333333333333333</v>
      </c>
      <c r="I7" s="4" t="s">
        <v>31</v>
      </c>
      <c r="J7" s="8">
        <v>0.2</v>
      </c>
      <c r="K7" s="4"/>
    </row>
    <row r="8" spans="1:11" ht="70.5" customHeight="1" x14ac:dyDescent="0.3">
      <c r="A8" s="15"/>
      <c r="B8" s="3" t="s">
        <v>32</v>
      </c>
      <c r="C8" s="4" t="s">
        <v>28</v>
      </c>
      <c r="D8" s="5">
        <v>0</v>
      </c>
      <c r="E8" s="4" t="s">
        <v>29</v>
      </c>
      <c r="F8" s="5">
        <f t="shared" ref="F8:F31" si="0">J8/3</f>
        <v>6.6666666666666666E-2</v>
      </c>
      <c r="G8" s="4" t="s">
        <v>30</v>
      </c>
      <c r="H8" s="5">
        <f t="shared" ref="H8:H31" si="1">J8*2/3</f>
        <v>0.13333333333333333</v>
      </c>
      <c r="I8" s="4" t="s">
        <v>31</v>
      </c>
      <c r="J8" s="8">
        <v>0.2</v>
      </c>
      <c r="K8" s="4"/>
    </row>
    <row r="9" spans="1:11" ht="78.599999999999994" customHeight="1" x14ac:dyDescent="0.3">
      <c r="A9" s="15"/>
      <c r="B9" s="3" t="s">
        <v>33</v>
      </c>
      <c r="C9" s="4" t="s">
        <v>28</v>
      </c>
      <c r="D9" s="5">
        <v>0</v>
      </c>
      <c r="E9" s="4" t="s">
        <v>29</v>
      </c>
      <c r="F9" s="5">
        <f t="shared" si="0"/>
        <v>6.6666666666666666E-2</v>
      </c>
      <c r="G9" s="4" t="s">
        <v>30</v>
      </c>
      <c r="H9" s="5">
        <f t="shared" si="1"/>
        <v>0.13333333333333333</v>
      </c>
      <c r="I9" s="4" t="s">
        <v>31</v>
      </c>
      <c r="J9" s="8">
        <v>0.2</v>
      </c>
      <c r="K9" s="6"/>
    </row>
    <row r="10" spans="1:11" ht="79.5" customHeight="1" x14ac:dyDescent="0.3">
      <c r="A10" s="15"/>
      <c r="B10" s="3" t="s">
        <v>34</v>
      </c>
      <c r="C10" s="4" t="s">
        <v>28</v>
      </c>
      <c r="D10" s="5">
        <v>0</v>
      </c>
      <c r="E10" s="4" t="s">
        <v>29</v>
      </c>
      <c r="F10" s="5">
        <f t="shared" si="0"/>
        <v>6.6666666666666666E-2</v>
      </c>
      <c r="G10" s="4" t="s">
        <v>30</v>
      </c>
      <c r="H10" s="5">
        <f t="shared" si="1"/>
        <v>0.13333333333333333</v>
      </c>
      <c r="I10" s="4" t="s">
        <v>31</v>
      </c>
      <c r="J10" s="8">
        <v>0.2</v>
      </c>
      <c r="K10" s="6"/>
    </row>
    <row r="11" spans="1:11" ht="84.9" customHeight="1" x14ac:dyDescent="0.3">
      <c r="A11" s="15"/>
      <c r="B11" s="3" t="s">
        <v>35</v>
      </c>
      <c r="C11" s="4" t="s">
        <v>28</v>
      </c>
      <c r="D11" s="5">
        <v>0</v>
      </c>
      <c r="E11" s="4" t="s">
        <v>29</v>
      </c>
      <c r="F11" s="5">
        <f t="shared" si="0"/>
        <v>9.9999999999999992E-2</v>
      </c>
      <c r="G11" s="4" t="s">
        <v>30</v>
      </c>
      <c r="H11" s="5">
        <f t="shared" si="1"/>
        <v>0.19999999999999998</v>
      </c>
      <c r="I11" s="4" t="s">
        <v>31</v>
      </c>
      <c r="J11" s="8">
        <v>0.3</v>
      </c>
      <c r="K11" s="6"/>
    </row>
    <row r="12" spans="1:11" ht="101.25" customHeight="1" x14ac:dyDescent="0.3">
      <c r="A12" s="15"/>
      <c r="B12" s="3" t="s">
        <v>36</v>
      </c>
      <c r="C12" s="4" t="s">
        <v>28</v>
      </c>
      <c r="D12" s="5">
        <v>0</v>
      </c>
      <c r="E12" s="4" t="s">
        <v>29</v>
      </c>
      <c r="F12" s="5">
        <f t="shared" si="0"/>
        <v>6.6666666666666666E-2</v>
      </c>
      <c r="G12" s="4" t="s">
        <v>30</v>
      </c>
      <c r="H12" s="5">
        <f t="shared" si="1"/>
        <v>0.13333333333333333</v>
      </c>
      <c r="I12" s="4" t="s">
        <v>31</v>
      </c>
      <c r="J12" s="8">
        <v>0.2</v>
      </c>
      <c r="K12" s="6"/>
    </row>
    <row r="13" spans="1:11" ht="85.5" customHeight="1" x14ac:dyDescent="0.3">
      <c r="A13" s="15"/>
      <c r="B13" s="3" t="s">
        <v>37</v>
      </c>
      <c r="C13" s="4" t="s">
        <v>28</v>
      </c>
      <c r="D13" s="5">
        <v>0</v>
      </c>
      <c r="E13" s="4" t="s">
        <v>29</v>
      </c>
      <c r="F13" s="5">
        <f t="shared" si="0"/>
        <v>9.9999999999999992E-2</v>
      </c>
      <c r="G13" s="4" t="s">
        <v>30</v>
      </c>
      <c r="H13" s="5">
        <f t="shared" si="1"/>
        <v>0.19999999999999998</v>
      </c>
      <c r="I13" s="4" t="s">
        <v>31</v>
      </c>
      <c r="J13" s="8">
        <v>0.3</v>
      </c>
      <c r="K13" s="6"/>
    </row>
    <row r="14" spans="1:11" ht="113.25" customHeight="1" x14ac:dyDescent="0.3">
      <c r="A14" s="15"/>
      <c r="B14" s="3" t="s">
        <v>38</v>
      </c>
      <c r="C14" s="4" t="s">
        <v>28</v>
      </c>
      <c r="D14" s="5">
        <v>0</v>
      </c>
      <c r="E14" s="4" t="s">
        <v>29</v>
      </c>
      <c r="F14" s="5">
        <f t="shared" si="0"/>
        <v>6.6666666666666666E-2</v>
      </c>
      <c r="G14" s="4" t="s">
        <v>30</v>
      </c>
      <c r="H14" s="5">
        <f t="shared" si="1"/>
        <v>0.13333333333333333</v>
      </c>
      <c r="I14" s="4" t="s">
        <v>31</v>
      </c>
      <c r="J14" s="8">
        <v>0.2</v>
      </c>
      <c r="K14" s="6"/>
    </row>
    <row r="15" spans="1:11" ht="106.5" customHeight="1" x14ac:dyDescent="0.3">
      <c r="A15" s="16"/>
      <c r="B15" s="3" t="s">
        <v>39</v>
      </c>
      <c r="C15" s="4" t="s">
        <v>28</v>
      </c>
      <c r="D15" s="5">
        <v>0</v>
      </c>
      <c r="E15" s="4" t="s">
        <v>29</v>
      </c>
      <c r="F15" s="5">
        <f t="shared" si="0"/>
        <v>6.6666666666666666E-2</v>
      </c>
      <c r="G15" s="4" t="s">
        <v>30</v>
      </c>
      <c r="H15" s="5">
        <f t="shared" si="1"/>
        <v>0.13333333333333333</v>
      </c>
      <c r="I15" s="4" t="s">
        <v>31</v>
      </c>
      <c r="J15" s="8">
        <v>0.2</v>
      </c>
      <c r="K15" s="6"/>
    </row>
    <row r="16" spans="1:11" ht="70.5" customHeight="1" x14ac:dyDescent="0.3">
      <c r="A16" s="14" t="s">
        <v>40</v>
      </c>
      <c r="B16" s="3" t="s">
        <v>41</v>
      </c>
      <c r="C16" s="4" t="s">
        <v>28</v>
      </c>
      <c r="D16" s="5">
        <v>0</v>
      </c>
      <c r="E16" s="4" t="s">
        <v>29</v>
      </c>
      <c r="F16" s="5">
        <f t="shared" si="0"/>
        <v>9.9999999999999992E-2</v>
      </c>
      <c r="G16" s="4" t="s">
        <v>30</v>
      </c>
      <c r="H16" s="5">
        <f t="shared" si="1"/>
        <v>0.19999999999999998</v>
      </c>
      <c r="I16" s="4" t="s">
        <v>31</v>
      </c>
      <c r="J16" s="8">
        <v>0.3</v>
      </c>
      <c r="K16" s="6"/>
    </row>
    <row r="17" spans="1:10" ht="69" x14ac:dyDescent="0.3">
      <c r="A17" s="15"/>
      <c r="B17" s="3" t="s">
        <v>42</v>
      </c>
      <c r="C17" s="4" t="s">
        <v>28</v>
      </c>
      <c r="D17" s="5">
        <v>0</v>
      </c>
      <c r="E17" s="4" t="s">
        <v>29</v>
      </c>
      <c r="F17" s="5">
        <f t="shared" si="0"/>
        <v>9.9999999999999992E-2</v>
      </c>
      <c r="G17" s="4" t="s">
        <v>30</v>
      </c>
      <c r="H17" s="5">
        <f t="shared" si="1"/>
        <v>0.19999999999999998</v>
      </c>
      <c r="I17" s="4" t="s">
        <v>31</v>
      </c>
      <c r="J17" s="8">
        <v>0.3</v>
      </c>
    </row>
    <row r="18" spans="1:10" ht="85.5" customHeight="1" x14ac:dyDescent="0.3">
      <c r="A18" s="15"/>
      <c r="B18" s="3" t="s">
        <v>43</v>
      </c>
      <c r="C18" s="4" t="s">
        <v>28</v>
      </c>
      <c r="D18" s="5">
        <v>0</v>
      </c>
      <c r="E18" s="4" t="s">
        <v>29</v>
      </c>
      <c r="F18" s="5">
        <f t="shared" si="0"/>
        <v>6.6666666666666666E-2</v>
      </c>
      <c r="G18" s="4" t="s">
        <v>30</v>
      </c>
      <c r="H18" s="5">
        <f t="shared" si="1"/>
        <v>0.13333333333333333</v>
      </c>
      <c r="I18" s="4" t="s">
        <v>31</v>
      </c>
      <c r="J18" s="8">
        <v>0.2</v>
      </c>
    </row>
    <row r="19" spans="1:10" ht="34.5" customHeight="1" x14ac:dyDescent="0.3">
      <c r="A19" s="15"/>
      <c r="B19" s="3" t="s">
        <v>44</v>
      </c>
      <c r="C19" s="4" t="s">
        <v>28</v>
      </c>
      <c r="D19" s="5">
        <v>0</v>
      </c>
      <c r="E19" s="4" t="s">
        <v>29</v>
      </c>
      <c r="F19" s="5">
        <f t="shared" si="0"/>
        <v>9.9999999999999992E-2</v>
      </c>
      <c r="G19" s="4" t="s">
        <v>30</v>
      </c>
      <c r="H19" s="5">
        <f t="shared" si="1"/>
        <v>0.19999999999999998</v>
      </c>
      <c r="I19" s="4" t="s">
        <v>31</v>
      </c>
      <c r="J19" s="8">
        <v>0.3</v>
      </c>
    </row>
    <row r="20" spans="1:10" ht="32.25" customHeight="1" x14ac:dyDescent="0.3">
      <c r="A20" s="15"/>
      <c r="B20" s="3" t="s">
        <v>45</v>
      </c>
      <c r="C20" s="4" t="s">
        <v>28</v>
      </c>
      <c r="D20" s="5">
        <v>0</v>
      </c>
      <c r="E20" s="4" t="s">
        <v>29</v>
      </c>
      <c r="F20" s="5">
        <f t="shared" si="0"/>
        <v>9.9999999999999992E-2</v>
      </c>
      <c r="G20" s="4" t="s">
        <v>30</v>
      </c>
      <c r="H20" s="5">
        <f t="shared" si="1"/>
        <v>0.19999999999999998</v>
      </c>
      <c r="I20" s="4" t="s">
        <v>31</v>
      </c>
      <c r="J20" s="8">
        <v>0.3</v>
      </c>
    </row>
    <row r="21" spans="1:10" ht="35.25" customHeight="1" x14ac:dyDescent="0.3">
      <c r="A21" s="15"/>
      <c r="B21" s="3" t="s">
        <v>46</v>
      </c>
      <c r="C21" s="4" t="s">
        <v>28</v>
      </c>
      <c r="D21" s="5">
        <v>0</v>
      </c>
      <c r="E21" s="4" t="s">
        <v>29</v>
      </c>
      <c r="F21" s="5">
        <f t="shared" si="0"/>
        <v>9.9999999999999992E-2</v>
      </c>
      <c r="G21" s="4" t="s">
        <v>30</v>
      </c>
      <c r="H21" s="5">
        <f t="shared" si="1"/>
        <v>0.19999999999999998</v>
      </c>
      <c r="I21" s="4" t="s">
        <v>31</v>
      </c>
      <c r="J21" s="8">
        <v>0.3</v>
      </c>
    </row>
    <row r="22" spans="1:10" ht="36" customHeight="1" x14ac:dyDescent="0.3">
      <c r="A22" s="16"/>
      <c r="B22" s="3" t="s">
        <v>47</v>
      </c>
      <c r="C22" s="4" t="s">
        <v>28</v>
      </c>
      <c r="D22" s="5">
        <v>0</v>
      </c>
      <c r="E22" s="4" t="s">
        <v>29</v>
      </c>
      <c r="F22" s="5">
        <f t="shared" si="0"/>
        <v>9.9999999999999992E-2</v>
      </c>
      <c r="G22" s="4" t="s">
        <v>30</v>
      </c>
      <c r="H22" s="5">
        <f t="shared" si="1"/>
        <v>0.19999999999999998</v>
      </c>
      <c r="I22" s="4" t="s">
        <v>31</v>
      </c>
      <c r="J22" s="8">
        <v>0.3</v>
      </c>
    </row>
    <row r="23" spans="1:10" ht="49.5" customHeight="1" x14ac:dyDescent="0.3">
      <c r="A23" s="14" t="s">
        <v>48</v>
      </c>
      <c r="B23" s="3" t="s">
        <v>49</v>
      </c>
      <c r="C23" s="4" t="s">
        <v>28</v>
      </c>
      <c r="D23" s="5">
        <v>0</v>
      </c>
      <c r="E23" s="4" t="s">
        <v>29</v>
      </c>
      <c r="F23" s="5">
        <f t="shared" si="0"/>
        <v>0.1111111111111111</v>
      </c>
      <c r="G23" s="4" t="s">
        <v>30</v>
      </c>
      <c r="H23" s="5">
        <f t="shared" si="1"/>
        <v>0.22222222222222221</v>
      </c>
      <c r="I23" s="4" t="s">
        <v>31</v>
      </c>
      <c r="J23" s="8">
        <f>1*1/3</f>
        <v>0.33333333333333331</v>
      </c>
    </row>
    <row r="24" spans="1:10" ht="57" customHeight="1" x14ac:dyDescent="0.3">
      <c r="A24" s="15"/>
      <c r="B24" s="3" t="s">
        <v>50</v>
      </c>
      <c r="C24" s="4" t="s">
        <v>28</v>
      </c>
      <c r="D24" s="5">
        <v>0</v>
      </c>
      <c r="E24" s="4" t="s">
        <v>29</v>
      </c>
      <c r="F24" s="5">
        <f t="shared" si="0"/>
        <v>0.1111111111111111</v>
      </c>
      <c r="G24" s="4" t="s">
        <v>30</v>
      </c>
      <c r="H24" s="5">
        <f t="shared" si="1"/>
        <v>0.22222222222222221</v>
      </c>
      <c r="I24" s="4" t="s">
        <v>31</v>
      </c>
      <c r="J24" s="8">
        <f>1*1/3</f>
        <v>0.33333333333333331</v>
      </c>
    </row>
    <row r="25" spans="1:10" ht="77.25" customHeight="1" x14ac:dyDescent="0.3">
      <c r="A25" s="15"/>
      <c r="B25" s="3" t="s">
        <v>51</v>
      </c>
      <c r="C25" s="4" t="s">
        <v>28</v>
      </c>
      <c r="D25" s="5">
        <v>0</v>
      </c>
      <c r="E25" s="4" t="s">
        <v>29</v>
      </c>
      <c r="F25" s="5">
        <f t="shared" si="0"/>
        <v>0.1111111111111111</v>
      </c>
      <c r="G25" s="4" t="s">
        <v>30</v>
      </c>
      <c r="H25" s="5">
        <f t="shared" si="1"/>
        <v>0.22222222222222221</v>
      </c>
      <c r="I25" s="4" t="s">
        <v>31</v>
      </c>
      <c r="J25" s="8">
        <f>1*1/3</f>
        <v>0.33333333333333331</v>
      </c>
    </row>
    <row r="26" spans="1:10" ht="48" customHeight="1" x14ac:dyDescent="0.3">
      <c r="A26" s="15"/>
      <c r="B26" s="3" t="s">
        <v>52</v>
      </c>
      <c r="C26" s="4" t="s">
        <v>28</v>
      </c>
      <c r="D26" s="5">
        <v>0</v>
      </c>
      <c r="E26" s="4" t="s">
        <v>29</v>
      </c>
      <c r="F26" s="5">
        <f t="shared" si="0"/>
        <v>0.1111111111111111</v>
      </c>
      <c r="G26" s="4" t="s">
        <v>30</v>
      </c>
      <c r="H26" s="5">
        <f t="shared" si="1"/>
        <v>0.22222222222222221</v>
      </c>
      <c r="I26" s="4" t="s">
        <v>31</v>
      </c>
      <c r="J26" s="8">
        <f t="shared" ref="J26:J28" si="2">1*1/3</f>
        <v>0.33333333333333331</v>
      </c>
    </row>
    <row r="27" spans="1:10" ht="57.75" customHeight="1" x14ac:dyDescent="0.3">
      <c r="A27" s="15"/>
      <c r="B27" s="3" t="s">
        <v>53</v>
      </c>
      <c r="C27" s="4" t="s">
        <v>28</v>
      </c>
      <c r="D27" s="5">
        <v>0</v>
      </c>
      <c r="E27" s="4" t="s">
        <v>29</v>
      </c>
      <c r="F27" s="5">
        <f t="shared" si="0"/>
        <v>0.1111111111111111</v>
      </c>
      <c r="G27" s="4" t="s">
        <v>30</v>
      </c>
      <c r="H27" s="5">
        <f t="shared" si="1"/>
        <v>0.22222222222222221</v>
      </c>
      <c r="I27" s="4" t="s">
        <v>31</v>
      </c>
      <c r="J27" s="8">
        <f t="shared" si="2"/>
        <v>0.33333333333333331</v>
      </c>
    </row>
    <row r="28" spans="1:10" ht="51.75" customHeight="1" x14ac:dyDescent="0.3">
      <c r="A28" s="16"/>
      <c r="B28" s="3" t="s">
        <v>54</v>
      </c>
      <c r="C28" s="4" t="s">
        <v>28</v>
      </c>
      <c r="D28" s="5">
        <v>0</v>
      </c>
      <c r="E28" s="4" t="s">
        <v>29</v>
      </c>
      <c r="F28" s="5">
        <f t="shared" si="0"/>
        <v>0.1111111111111111</v>
      </c>
      <c r="G28" s="4" t="s">
        <v>30</v>
      </c>
      <c r="H28" s="5">
        <f t="shared" si="1"/>
        <v>0.22222222222222221</v>
      </c>
      <c r="I28" s="4" t="s">
        <v>31</v>
      </c>
      <c r="J28" s="8">
        <f t="shared" si="2"/>
        <v>0.33333333333333331</v>
      </c>
    </row>
    <row r="29" spans="1:10" ht="88.5" customHeight="1" x14ac:dyDescent="0.3">
      <c r="A29" s="7" t="s">
        <v>55</v>
      </c>
      <c r="B29" s="3" t="s">
        <v>56</v>
      </c>
      <c r="C29" s="4" t="s">
        <v>28</v>
      </c>
      <c r="D29" s="5">
        <v>0</v>
      </c>
      <c r="E29" s="4" t="s">
        <v>29</v>
      </c>
      <c r="F29" s="5">
        <f t="shared" si="0"/>
        <v>0.66666666666666663</v>
      </c>
      <c r="G29" s="4" t="s">
        <v>30</v>
      </c>
      <c r="H29" s="5">
        <f t="shared" si="1"/>
        <v>1.3333333333333333</v>
      </c>
      <c r="I29" s="4" t="s">
        <v>31</v>
      </c>
      <c r="J29" s="8">
        <v>2</v>
      </c>
    </row>
    <row r="30" spans="1:10" ht="42" customHeight="1" x14ac:dyDescent="0.3">
      <c r="A30" s="17" t="s">
        <v>57</v>
      </c>
      <c r="B30" s="3" t="s">
        <v>58</v>
      </c>
      <c r="C30" s="4" t="s">
        <v>59</v>
      </c>
      <c r="D30" s="5">
        <v>0</v>
      </c>
      <c r="E30" s="4" t="s">
        <v>60</v>
      </c>
      <c r="F30" s="5">
        <f t="shared" si="0"/>
        <v>0.33333333333333331</v>
      </c>
      <c r="G30" s="4" t="s">
        <v>30</v>
      </c>
      <c r="H30" s="5">
        <f t="shared" si="1"/>
        <v>0.66666666666666663</v>
      </c>
      <c r="I30" s="4" t="s">
        <v>31</v>
      </c>
      <c r="J30" s="8">
        <v>1</v>
      </c>
    </row>
    <row r="31" spans="1:10" ht="51" customHeight="1" x14ac:dyDescent="0.3">
      <c r="A31" s="18"/>
      <c r="B31" s="3" t="s">
        <v>61</v>
      </c>
      <c r="C31" s="4" t="s">
        <v>59</v>
      </c>
      <c r="D31" s="5">
        <v>0</v>
      </c>
      <c r="E31" s="4" t="s">
        <v>60</v>
      </c>
      <c r="F31" s="5">
        <f t="shared" si="0"/>
        <v>0.33333333333333331</v>
      </c>
      <c r="G31" s="4" t="s">
        <v>30</v>
      </c>
      <c r="H31" s="5">
        <f t="shared" si="1"/>
        <v>0.66666666666666663</v>
      </c>
      <c r="I31" s="12" t="s">
        <v>31</v>
      </c>
      <c r="J31" s="13">
        <v>1</v>
      </c>
    </row>
    <row r="32" spans="1:10" ht="15" customHeight="1" x14ac:dyDescent="0.3">
      <c r="I32" s="10" t="s">
        <v>62</v>
      </c>
      <c r="J32" s="11">
        <f>SUM(J7:J31)</f>
        <v>9.9999999999999964</v>
      </c>
    </row>
  </sheetData>
  <mergeCells count="11">
    <mergeCell ref="A23:A28"/>
    <mergeCell ref="A30:A31"/>
    <mergeCell ref="C1:G1"/>
    <mergeCell ref="K1:K2"/>
    <mergeCell ref="C2:D2"/>
    <mergeCell ref="E2:F2"/>
    <mergeCell ref="G2:H2"/>
    <mergeCell ref="A1:B2"/>
    <mergeCell ref="A7:A15"/>
    <mergeCell ref="A16:A22"/>
    <mergeCell ref="A3:A6"/>
  </mergeCells>
  <conditionalFormatting sqref="C3:C31">
    <cfRule type="expression" dxfId="37" priority="15">
      <formula>(#REF!=$G$2)</formula>
    </cfRule>
    <cfRule type="expression" dxfId="36" priority="16">
      <formula>(#REF!&lt;&gt;$G$2)</formula>
    </cfRule>
  </conditionalFormatting>
  <conditionalFormatting sqref="C7:F31">
    <cfRule type="expression" dxfId="35" priority="48">
      <formula>(#REF!="")</formula>
    </cfRule>
  </conditionalFormatting>
  <conditionalFormatting sqref="C3:J6">
    <cfRule type="expression" dxfId="34" priority="19">
      <formula>(#REF!="")</formula>
    </cfRule>
  </conditionalFormatting>
  <conditionalFormatting sqref="D3:D31">
    <cfRule type="expression" dxfId="33" priority="17">
      <formula>(#REF!=$C$2)</formula>
    </cfRule>
    <cfRule type="expression" dxfId="32" priority="18">
      <formula>(#REF!&lt;&gt;$C$2)</formula>
    </cfRule>
  </conditionalFormatting>
  <conditionalFormatting sqref="E7:E31">
    <cfRule type="expression" dxfId="31" priority="46">
      <formula>(#REF!=$G$2)</formula>
    </cfRule>
    <cfRule type="expression" dxfId="30" priority="47">
      <formula>(#REF!&lt;&gt;$G$2)</formula>
    </cfRule>
  </conditionalFormatting>
  <conditionalFormatting sqref="E3:F6">
    <cfRule type="expression" dxfId="29" priority="24">
      <formula>(#REF!=#REF!)</formula>
    </cfRule>
    <cfRule type="expression" dxfId="28" priority="25">
      <formula>(#REF!&lt;&gt;#REF!)</formula>
    </cfRule>
    <cfRule type="expression" dxfId="27" priority="20">
      <formula>(#REF!=$E$2)</formula>
    </cfRule>
    <cfRule type="expression" dxfId="26" priority="21">
      <formula>(#REF!&lt;&gt;$E$2)</formula>
    </cfRule>
  </conditionalFormatting>
  <conditionalFormatting sqref="F5:F6">
    <cfRule type="expression" dxfId="25" priority="13">
      <formula>(#REF!=$C$2)</formula>
    </cfRule>
    <cfRule type="expression" dxfId="24" priority="14">
      <formula>(#REF!&lt;&gt;$C$2)</formula>
    </cfRule>
  </conditionalFormatting>
  <conditionalFormatting sqref="F7:F31">
    <cfRule type="expression" dxfId="23" priority="67">
      <formula>(#REF!=#REF!)</formula>
    </cfRule>
    <cfRule type="expression" dxfId="22" priority="58">
      <formula>(#REF!&lt;&gt;$E$2)</formula>
    </cfRule>
    <cfRule type="expression" dxfId="21" priority="57">
      <formula>(#REF!=$E$2)</formula>
    </cfRule>
    <cfRule type="expression" dxfId="20" priority="68">
      <formula>(#REF!&lt;&gt;#REF!)</formula>
    </cfRule>
  </conditionalFormatting>
  <conditionalFormatting sqref="G7:G31">
    <cfRule type="expression" dxfId="19" priority="45">
      <formula>(#REF!="")</formula>
    </cfRule>
    <cfRule type="expression" dxfId="18" priority="44">
      <formula>(#REF!&lt;&gt;$G$2)</formula>
    </cfRule>
    <cfRule type="expression" dxfId="17" priority="43">
      <formula>(#REF!=$G$2)</formula>
    </cfRule>
  </conditionalFormatting>
  <conditionalFormatting sqref="G3:J6">
    <cfRule type="expression" dxfId="16" priority="22">
      <formula>(#REF!=$G$2)</formula>
    </cfRule>
    <cfRule type="expression" dxfId="15" priority="23">
      <formula>(#REF!&lt;&gt;$G$2)</formula>
    </cfRule>
  </conditionalFormatting>
  <conditionalFormatting sqref="H5:H6">
    <cfRule type="expression" dxfId="14" priority="8">
      <formula>(#REF!&lt;&gt;$C$2)</formula>
    </cfRule>
    <cfRule type="expression" dxfId="13" priority="7">
      <formula>(#REF!=$C$2)</formula>
    </cfRule>
    <cfRule type="expression" dxfId="12" priority="9">
      <formula>(#REF!=$E$2)</formula>
    </cfRule>
    <cfRule type="expression" dxfId="11" priority="10">
      <formula>(#REF!&lt;&gt;$E$2)</formula>
    </cfRule>
    <cfRule type="expression" dxfId="10" priority="11">
      <formula>(#REF!=#REF!)</formula>
    </cfRule>
    <cfRule type="expression" dxfId="9" priority="12">
      <formula>(#REF!&lt;&gt;#REF!)</formula>
    </cfRule>
  </conditionalFormatting>
  <conditionalFormatting sqref="I7:I31">
    <cfRule type="expression" dxfId="8" priority="40">
      <formula>(#REF!=$G$2)</formula>
    </cfRule>
    <cfRule type="expression" dxfId="7" priority="41">
      <formula>(#REF!&lt;&gt;$G$2)</formula>
    </cfRule>
    <cfRule type="expression" dxfId="6" priority="42">
      <formula>(#REF!="")</formula>
    </cfRule>
  </conditionalFormatting>
  <conditionalFormatting sqref="J5:J6">
    <cfRule type="expression" dxfId="5" priority="2">
      <formula>(#REF!&lt;&gt;$C$2)</formula>
    </cfRule>
    <cfRule type="expression" dxfId="4" priority="1">
      <formula>(#REF!=$C$2)</formula>
    </cfRule>
    <cfRule type="expression" dxfId="3" priority="6">
      <formula>(#REF!&lt;&gt;#REF!)</formula>
    </cfRule>
    <cfRule type="expression" dxfId="2" priority="5">
      <formula>(#REF!=#REF!)</formula>
    </cfRule>
    <cfRule type="expression" dxfId="1" priority="4">
      <formula>(#REF!&lt;&gt;$E$2)</formula>
    </cfRule>
    <cfRule type="expression" dxfId="0" priority="3">
      <formula>(#REF!=$E$2)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1" ma:contentTypeDescription="Create a new document." ma:contentTypeScope="" ma:versionID="708e775a266fec6aeb2ce773be4b3b42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7e04f112f823449c03bcda9937e228b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38524-9CB5-47A0-83C1-C5E2690A601D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customXml/itemProps2.xml><?xml version="1.0" encoding="utf-8"?>
<ds:datastoreItem xmlns:ds="http://schemas.openxmlformats.org/officeDocument/2006/customXml" ds:itemID="{9621CEFC-D76D-4671-B272-6BF91F4FC4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15C4C4-7191-4829-9938-99C62E9CB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1332b-2be7-40f1-9770-624e28d36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Miriam Ugidos Del Barrio</cp:lastModifiedBy>
  <cp:revision>1</cp:revision>
  <dcterms:created xsi:type="dcterms:W3CDTF">2015-06-05T18:19:34Z</dcterms:created>
  <dcterms:modified xsi:type="dcterms:W3CDTF">2025-11-06T08:24:09Z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